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1FD88442-2066-417F-9F81-594D3BA91A13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Pricing 1" sheetId="2" r:id="rId1"/>
    <sheet name="Financials 2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7" l="1"/>
  <c r="D32" i="17"/>
  <c r="D33" i="17"/>
  <c r="D40" i="17"/>
  <c r="D38" i="17"/>
  <c r="F23" i="2"/>
  <c r="F33" i="2" s="1"/>
  <c r="G23" i="2"/>
  <c r="G33" i="2" s="1"/>
  <c r="H23" i="2"/>
  <c r="H33" i="2" s="1"/>
  <c r="I23" i="2"/>
  <c r="I33" i="2" s="1"/>
  <c r="J23" i="2"/>
  <c r="J33" i="2" s="1"/>
  <c r="J57" i="2" s="1"/>
  <c r="E23" i="2"/>
  <c r="E33" i="2"/>
  <c r="A25" i="2"/>
  <c r="A26" i="2"/>
  <c r="A27" i="2"/>
  <c r="A28" i="2"/>
  <c r="A29" i="2"/>
  <c r="A24" i="2"/>
  <c r="D19" i="2"/>
  <c r="D29" i="2" s="1"/>
  <c r="K29" i="2" s="1"/>
  <c r="D18" i="2"/>
  <c r="D28" i="2" s="1"/>
  <c r="K28" i="2" s="1"/>
  <c r="D17" i="2"/>
  <c r="D27" i="2" s="1"/>
  <c r="K27" i="2" s="1"/>
  <c r="D16" i="2"/>
  <c r="D26" i="2" s="1"/>
  <c r="K26" i="2" s="1"/>
  <c r="D15" i="2"/>
  <c r="D25" i="2" s="1"/>
  <c r="K25" i="2" s="1"/>
  <c r="D14" i="2"/>
  <c r="D24" i="2" s="1"/>
  <c r="K24" i="2" s="1"/>
  <c r="I55" i="2"/>
  <c r="J55" i="2" s="1"/>
  <c r="J47" i="2"/>
  <c r="I12" i="17" s="1"/>
  <c r="E20" i="2"/>
  <c r="F19" i="2"/>
  <c r="F18" i="2"/>
  <c r="J17" i="2"/>
  <c r="J16" i="2"/>
  <c r="F15" i="2"/>
  <c r="J14" i="2"/>
  <c r="E57" i="2" l="1"/>
  <c r="E47" i="2"/>
  <c r="F57" i="2"/>
  <c r="F47" i="2"/>
  <c r="G57" i="2"/>
  <c r="G47" i="2"/>
  <c r="H57" i="2"/>
  <c r="H47" i="2"/>
  <c r="I57" i="2"/>
  <c r="I47" i="2"/>
  <c r="E29" i="2"/>
  <c r="E14" i="17"/>
  <c r="D60" i="2"/>
  <c r="D50" i="2"/>
  <c r="D36" i="2"/>
  <c r="D59" i="2"/>
  <c r="D49" i="2"/>
  <c r="D35" i="2"/>
  <c r="D58" i="2"/>
  <c r="D48" i="2"/>
  <c r="D34" i="2"/>
  <c r="D14" i="17"/>
  <c r="E27" i="2"/>
  <c r="I27" i="2"/>
  <c r="G27" i="2"/>
  <c r="F27" i="2"/>
  <c r="H27" i="2"/>
  <c r="E25" i="2"/>
  <c r="I25" i="2"/>
  <c r="H25" i="2"/>
  <c r="G19" i="2"/>
  <c r="F29" i="2"/>
  <c r="G18" i="2"/>
  <c r="F25" i="2"/>
  <c r="F20" i="2"/>
  <c r="G15" i="2"/>
  <c r="J27" i="2" l="1"/>
  <c r="G25" i="2"/>
  <c r="J25" i="2" s="1"/>
  <c r="F14" i="17"/>
  <c r="E28" i="2"/>
  <c r="E50" i="2" s="1"/>
  <c r="F28" i="2"/>
  <c r="F50" i="2" s="1"/>
  <c r="G29" i="2"/>
  <c r="H19" i="2"/>
  <c r="E26" i="2"/>
  <c r="E49" i="2" s="1"/>
  <c r="I26" i="2"/>
  <c r="I49" i="2" s="1"/>
  <c r="H26" i="2"/>
  <c r="H49" i="2" s="1"/>
  <c r="G26" i="2"/>
  <c r="G49" i="2" s="1"/>
  <c r="F26" i="2"/>
  <c r="F49" i="2" s="1"/>
  <c r="G24" i="2"/>
  <c r="E24" i="2"/>
  <c r="E48" i="2" s="1"/>
  <c r="I24" i="2"/>
  <c r="I48" i="2" s="1"/>
  <c r="I58" i="2" s="1"/>
  <c r="H24" i="2"/>
  <c r="H48" i="2" s="1"/>
  <c r="H58" i="2" s="1"/>
  <c r="F24" i="2"/>
  <c r="F48" i="2" s="1"/>
  <c r="G28" i="2"/>
  <c r="H18" i="2"/>
  <c r="G20" i="2"/>
  <c r="J15" i="2"/>
  <c r="G48" i="2" l="1"/>
  <c r="G50" i="2"/>
  <c r="H20" i="2"/>
  <c r="F30" i="2"/>
  <c r="G14" i="17"/>
  <c r="H29" i="2"/>
  <c r="I19" i="2"/>
  <c r="J26" i="2"/>
  <c r="G30" i="2"/>
  <c r="H28" i="2"/>
  <c r="I18" i="2"/>
  <c r="E30" i="2"/>
  <c r="J24" i="2"/>
  <c r="H50" i="2" l="1"/>
  <c r="H14" i="17"/>
  <c r="I14" i="17" s="1"/>
  <c r="I29" i="2"/>
  <c r="J29" i="2" s="1"/>
  <c r="J19" i="2"/>
  <c r="H30" i="2"/>
  <c r="I28" i="2"/>
  <c r="J18" i="2"/>
  <c r="I20" i="2"/>
  <c r="I50" i="2" l="1"/>
  <c r="I52" i="2" s="1"/>
  <c r="I30" i="2"/>
  <c r="J30" i="2" s="1"/>
  <c r="J28" i="2"/>
  <c r="J20" i="2"/>
  <c r="H52" i="2"/>
  <c r="G52" i="2"/>
  <c r="F52" i="2"/>
  <c r="J48" i="2"/>
  <c r="J50" i="2" l="1"/>
  <c r="E52" i="2" l="1"/>
  <c r="J52" i="2" s="1"/>
  <c r="J49" i="2"/>
  <c r="K52" i="2" l="1"/>
  <c r="K49" i="2" s="1"/>
  <c r="L49" i="2" s="1"/>
  <c r="M49" i="2" l="1"/>
  <c r="E59" i="2" s="1"/>
  <c r="K48" i="2"/>
  <c r="L48" i="2" s="1"/>
  <c r="K50" i="2"/>
  <c r="L50" i="2" s="1"/>
  <c r="F58" i="2" l="1"/>
  <c r="G58" i="2"/>
  <c r="E58" i="2"/>
  <c r="E34" i="2" s="1"/>
  <c r="H60" i="2"/>
  <c r="E60" i="2"/>
  <c r="G60" i="2"/>
  <c r="I60" i="2"/>
  <c r="F60" i="2"/>
  <c r="F59" i="2"/>
  <c r="M48" i="2"/>
  <c r="M50" i="2"/>
  <c r="F34" i="2" l="1"/>
  <c r="I34" i="2"/>
  <c r="E36" i="2"/>
  <c r="F36" i="2"/>
  <c r="I36" i="2"/>
  <c r="E62" i="2" l="1"/>
  <c r="E63" i="2" s="1"/>
  <c r="F62" i="2"/>
  <c r="E35" i="2" l="1"/>
  <c r="E38" i="2" s="1"/>
  <c r="F35" i="2"/>
  <c r="F38" i="2" s="1"/>
  <c r="E25" i="17" s="1"/>
  <c r="D25" i="17" l="1"/>
  <c r="H34" i="2" l="1"/>
  <c r="G59" i="2"/>
  <c r="G35" i="2" s="1"/>
  <c r="G34" i="2"/>
  <c r="G36" i="2"/>
  <c r="G62" i="2" l="1"/>
  <c r="J58" i="2"/>
  <c r="J34" i="2"/>
  <c r="K34" i="2" s="1"/>
  <c r="G38" i="2"/>
  <c r="H36" i="2" l="1"/>
  <c r="J36" i="2" s="1"/>
  <c r="K36" i="2" s="1"/>
  <c r="J60" i="2"/>
  <c r="F25" i="17"/>
  <c r="I59" i="2" l="1"/>
  <c r="H59" i="2"/>
  <c r="I35" i="2" l="1"/>
  <c r="I38" i="2" s="1"/>
  <c r="H25" i="17" s="1"/>
  <c r="I62" i="2"/>
  <c r="H35" i="2"/>
  <c r="J59" i="2"/>
  <c r="H62" i="2"/>
  <c r="J62" i="2" l="1"/>
  <c r="H38" i="2"/>
  <c r="J35" i="2"/>
  <c r="G25" i="17" l="1"/>
  <c r="J38" i="2"/>
  <c r="E13" i="17"/>
  <c r="D13" i="17"/>
  <c r="H13" i="17"/>
  <c r="F13" i="17"/>
  <c r="G13" i="17"/>
  <c r="K35" i="2"/>
  <c r="I25" i="17" l="1"/>
  <c r="E15" i="17"/>
  <c r="E17" i="17"/>
  <c r="D15" i="17"/>
  <c r="D17" i="17"/>
  <c r="I13" i="17"/>
  <c r="H17" i="17"/>
  <c r="H15" i="17"/>
  <c r="F17" i="17"/>
  <c r="F15" i="17"/>
  <c r="G17" i="17"/>
  <c r="G15" i="17"/>
  <c r="E18" i="17" l="1"/>
  <c r="E16" i="17"/>
  <c r="I15" i="17"/>
  <c r="I16" i="17" s="1"/>
  <c r="D16" i="17"/>
  <c r="D18" i="17"/>
  <c r="I17" i="17"/>
  <c r="H18" i="17"/>
  <c r="H16" i="17"/>
  <c r="F16" i="17"/>
  <c r="F18" i="17"/>
  <c r="G16" i="17"/>
  <c r="G18" i="17"/>
  <c r="E19" i="17" l="1"/>
  <c r="E20" i="17"/>
  <c r="D20" i="17"/>
  <c r="D21" i="17" s="1"/>
  <c r="I18" i="17"/>
  <c r="I19" i="17" s="1"/>
  <c r="D19" i="17"/>
  <c r="H20" i="17"/>
  <c r="H19" i="17"/>
  <c r="F19" i="17"/>
  <c r="F20" i="17"/>
  <c r="G20" i="17"/>
  <c r="G19" i="17"/>
  <c r="G26" i="17" l="1"/>
  <c r="G27" i="17" s="1"/>
  <c r="G21" i="17"/>
  <c r="D26" i="17"/>
  <c r="I20" i="17"/>
  <c r="E26" i="17"/>
  <c r="E27" i="17" s="1"/>
  <c r="E21" i="17"/>
  <c r="H26" i="17"/>
  <c r="H27" i="17" s="1"/>
  <c r="H21" i="17"/>
  <c r="F26" i="17"/>
  <c r="F27" i="17" s="1"/>
  <c r="F21" i="17"/>
  <c r="I21" i="17" l="1"/>
  <c r="I26" i="17"/>
  <c r="D27" i="17"/>
  <c r="D28" i="17" l="1"/>
  <c r="I27" i="17"/>
</calcChain>
</file>

<file path=xl/sharedStrings.xml><?xml version="1.0" encoding="utf-8"?>
<sst xmlns="http://schemas.openxmlformats.org/spreadsheetml/2006/main" count="101" uniqueCount="72">
  <si>
    <t>Metric</t>
  </si>
  <si>
    <t xml:space="preserve">Target </t>
  </si>
  <si>
    <t>Total Target Price</t>
  </si>
  <si>
    <t>≈</t>
  </si>
  <si>
    <t>Y1 Target Price</t>
  </si>
  <si>
    <t>≤</t>
  </si>
  <si>
    <t>≥</t>
  </si>
  <si>
    <t>Cost</t>
  </si>
  <si>
    <t>Solution elements</t>
  </si>
  <si>
    <t>Service Tower</t>
  </si>
  <si>
    <t>Y1(12)</t>
  </si>
  <si>
    <t>Y2(12)</t>
  </si>
  <si>
    <t>Y3(12)</t>
  </si>
  <si>
    <t>Y4(12)</t>
  </si>
  <si>
    <t>Total (48)</t>
  </si>
  <si>
    <t>Network Services</t>
  </si>
  <si>
    <t>Managed Infrastructure  Services</t>
  </si>
  <si>
    <t>Migration and Application Modernization</t>
  </si>
  <si>
    <t>TOTAL</t>
  </si>
  <si>
    <t>Price</t>
  </si>
  <si>
    <t>Price (Client View)</t>
  </si>
  <si>
    <t>Total PTI</t>
  </si>
  <si>
    <t>Y1 PTI</t>
  </si>
  <si>
    <t>IRR</t>
  </si>
  <si>
    <t>Expenses</t>
  </si>
  <si>
    <t>=</t>
  </si>
  <si>
    <t>Corporate Tax</t>
  </si>
  <si>
    <t>I&amp;E Statement</t>
  </si>
  <si>
    <t>Revenue</t>
  </si>
  <si>
    <t>Gross Profit (GP)</t>
  </si>
  <si>
    <t>GP%</t>
  </si>
  <si>
    <t>Pre Tax Income (PTI)</t>
  </si>
  <si>
    <t>PTI%</t>
  </si>
  <si>
    <t>Net Income</t>
  </si>
  <si>
    <t>Cash Flow Statement</t>
  </si>
  <si>
    <t>Cash inflow during the period</t>
  </si>
  <si>
    <t>Cash outflow during the period</t>
  </si>
  <si>
    <t xml:space="preserve">Net Cash </t>
  </si>
  <si>
    <t>NPV Calculation</t>
  </si>
  <si>
    <t>NPV</t>
  </si>
  <si>
    <t>WACC</t>
  </si>
  <si>
    <t>Risk Free Rate (U.S. 3-Month T-Bill)</t>
  </si>
  <si>
    <t>Kyndryl Beta (5Y Monthly)</t>
  </si>
  <si>
    <t>Market Rate (S&amp;P 500 Average annualized return)</t>
  </si>
  <si>
    <t>Cost of Debt</t>
  </si>
  <si>
    <t>Kyndryl Capital Structure</t>
  </si>
  <si>
    <t>Equity</t>
  </si>
  <si>
    <t>Debt</t>
  </si>
  <si>
    <t>Y5(12)</t>
  </si>
  <si>
    <t>Discovery Phase</t>
  </si>
  <si>
    <t>Advanced SW License for 6 years</t>
  </si>
  <si>
    <t>Microfocus SW Licenses for 6 years</t>
  </si>
  <si>
    <t>Cost of equity</t>
  </si>
  <si>
    <t>Markup per service tower</t>
  </si>
  <si>
    <t>Markup per year</t>
  </si>
  <si>
    <t>Total+Markup</t>
  </si>
  <si>
    <t>PRICE ADJUSTMENT</t>
  </si>
  <si>
    <t>Base Price - Before Markup</t>
  </si>
  <si>
    <t>Price after adjustment</t>
  </si>
  <si>
    <t>Weight  SW Per Year</t>
  </si>
  <si>
    <t xml:space="preserve">Third Party SW </t>
  </si>
  <si>
    <t xml:space="preserve">Consult </t>
  </si>
  <si>
    <t xml:space="preserve">Managed Services </t>
  </si>
  <si>
    <t>*Third Party SW revenues recognized over 60 months</t>
  </si>
  <si>
    <t>Y1</t>
  </si>
  <si>
    <t>Y2</t>
  </si>
  <si>
    <t>Y3</t>
  </si>
  <si>
    <t>Y4</t>
  </si>
  <si>
    <t>Y5</t>
  </si>
  <si>
    <t xml:space="preserve">Total </t>
  </si>
  <si>
    <t>Financial Targets</t>
  </si>
  <si>
    <t>Pricing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</si>
</sst>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_(&quot;$&quot;* #,##0_);_(&quot;$&quot;* \(#,##0\);_(&quot;$&quot;* &quot;-&quot;??_);_(@_)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54"/>
      </patternFill>
    </fill>
    <fill>
      <patternFill patternType="solid">
        <fgColor theme="2" tint="-9.9978637043366805E-2"/>
        <bgColor indexed="4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4" fontId="5" fillId="3" borderId="1" xfId="2" applyNumberFormat="1" applyFont="1" applyFill="1" applyBorder="1" applyAlignment="1">
      <alignment horizontal="center" vertical="center"/>
    </xf>
    <xf numFmtId="43" fontId="0" fillId="0" borderId="0" xfId="0" applyNumberFormat="1"/>
    <xf numFmtId="3" fontId="5" fillId="2" borderId="1" xfId="2" applyNumberFormat="1" applyFont="1" applyFill="1" applyBorder="1" applyAlignment="1">
      <alignment horizontal="center" vertical="center" wrapText="1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3" fontId="5" fillId="2" borderId="4" xfId="2" applyNumberFormat="1" applyFont="1" applyFill="1" applyBorder="1" applyAlignment="1">
      <alignment horizontal="center" vertical="center" wrapText="1"/>
    </xf>
    <xf numFmtId="44" fontId="0" fillId="4" borderId="1" xfId="6" applyFont="1" applyFill="1" applyBorder="1"/>
    <xf numFmtId="44" fontId="5" fillId="2" borderId="1" xfId="6" applyFont="1" applyFill="1" applyBorder="1" applyAlignment="1">
      <alignment horizontal="center" vertical="center" wrapText="1"/>
    </xf>
    <xf numFmtId="9" fontId="0" fillId="6" borderId="1" xfId="1" applyFont="1" applyFill="1" applyBorder="1"/>
    <xf numFmtId="165" fontId="0" fillId="4" borderId="1" xfId="6" applyNumberFormat="1" applyFont="1" applyFill="1" applyBorder="1"/>
    <xf numFmtId="165" fontId="5" fillId="2" borderId="1" xfId="6" applyNumberFormat="1" applyFont="1" applyFill="1" applyBorder="1" applyAlignment="1">
      <alignment horizontal="center" vertical="center" wrapText="1"/>
    </xf>
    <xf numFmtId="4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right"/>
    </xf>
    <xf numFmtId="9" fontId="0" fillId="0" borderId="2" xfId="1" applyFont="1" applyBorder="1" applyAlignment="1">
      <alignment horizontal="left"/>
    </xf>
    <xf numFmtId="0" fontId="0" fillId="0" borderId="2" xfId="0" applyBorder="1"/>
    <xf numFmtId="0" fontId="0" fillId="4" borderId="3" xfId="0" applyFill="1" applyBorder="1"/>
    <xf numFmtId="4" fontId="5" fillId="3" borderId="2" xfId="2" applyNumberFormat="1" applyFont="1" applyFill="1" applyBorder="1" applyAlignment="1">
      <alignment horizontal="center" vertical="center"/>
    </xf>
    <xf numFmtId="4" fontId="5" fillId="3" borderId="3" xfId="2" applyNumberFormat="1" applyFont="1" applyFill="1" applyBorder="1" applyAlignment="1">
      <alignment horizontal="center" vertical="center"/>
    </xf>
    <xf numFmtId="4" fontId="5" fillId="3" borderId="4" xfId="2" applyNumberFormat="1" applyFont="1" applyFill="1" applyBorder="1" applyAlignment="1">
      <alignment horizontal="center" vertical="center"/>
    </xf>
    <xf numFmtId="3" fontId="5" fillId="2" borderId="2" xfId="2" applyNumberFormat="1" applyFont="1" applyFill="1" applyBorder="1" applyAlignment="1">
      <alignment horizontal="center" vertical="center" wrapText="1"/>
    </xf>
    <xf numFmtId="3" fontId="5" fillId="2" borderId="3" xfId="2" applyNumberFormat="1" applyFont="1" applyFill="1" applyBorder="1" applyAlignment="1">
      <alignment horizontal="center" vertical="center" wrapText="1"/>
    </xf>
    <xf numFmtId="165" fontId="0" fillId="6" borderId="1" xfId="6" applyNumberFormat="1" applyFont="1" applyFill="1" applyBorder="1"/>
    <xf numFmtId="0" fontId="0" fillId="0" borderId="5" xfId="0" applyBorder="1" applyAlignment="1">
      <alignment horizontal="right"/>
    </xf>
    <xf numFmtId="9" fontId="0" fillId="0" borderId="6" xfId="1" applyFont="1" applyBorder="1" applyAlignment="1">
      <alignment horizontal="left"/>
    </xf>
    <xf numFmtId="165" fontId="0" fillId="0" borderId="2" xfId="6" applyNumberFormat="1" applyFont="1" applyBorder="1" applyAlignment="1"/>
    <xf numFmtId="165" fontId="0" fillId="0" borderId="0" xfId="0" applyNumberFormat="1"/>
    <xf numFmtId="9" fontId="0" fillId="0" borderId="2" xfId="1" applyFont="1" applyBorder="1" applyAlignment="1"/>
    <xf numFmtId="0" fontId="0" fillId="0" borderId="3" xfId="0" quotePrefix="1" applyBorder="1" applyAlignment="1">
      <alignment horizontal="right"/>
    </xf>
    <xf numFmtId="166" fontId="0" fillId="6" borderId="1" xfId="1" applyNumberFormat="1" applyFont="1" applyFill="1" applyBorder="1"/>
    <xf numFmtId="166" fontId="0" fillId="4" borderId="1" xfId="1" applyNumberFormat="1" applyFont="1" applyFill="1" applyBorder="1"/>
    <xf numFmtId="9" fontId="0" fillId="4" borderId="1" xfId="1" applyFont="1" applyFill="1" applyBorder="1"/>
    <xf numFmtId="0" fontId="0" fillId="4" borderId="3" xfId="0" applyFill="1" applyBorder="1" applyAlignment="1">
      <alignment horizontal="left" indent="1"/>
    </xf>
    <xf numFmtId="0" fontId="0" fillId="4" borderId="3" xfId="0" applyFill="1" applyBorder="1" applyAlignment="1">
      <alignment horizontal="left" indent="3"/>
    </xf>
    <xf numFmtId="0" fontId="0" fillId="4" borderId="1" xfId="1" applyNumberFormat="1" applyFont="1" applyFill="1" applyBorder="1"/>
    <xf numFmtId="9" fontId="0" fillId="0" borderId="0" xfId="1" applyFont="1"/>
    <xf numFmtId="4" fontId="5" fillId="3" borderId="7" xfId="2" applyNumberFormat="1" applyFont="1" applyFill="1" applyBorder="1" applyAlignment="1">
      <alignment horizontal="center" vertical="center"/>
    </xf>
    <xf numFmtId="4" fontId="5" fillId="3" borderId="7" xfId="2" applyNumberFormat="1" applyFont="1" applyFill="1" applyBorder="1" applyAlignment="1">
      <alignment horizontal="center" vertical="center" wrapText="1"/>
    </xf>
    <xf numFmtId="10" fontId="0" fillId="6" borderId="1" xfId="1" applyNumberFormat="1" applyFont="1" applyFill="1" applyBorder="1"/>
    <xf numFmtId="4" fontId="5" fillId="3" borderId="3" xfId="2" applyNumberFormat="1" applyFont="1" applyFill="1" applyBorder="1" applyAlignment="1">
      <alignment horizontal="center" vertical="center"/>
    </xf>
    <xf numFmtId="4" fontId="5" fillId="3" borderId="2" xfId="2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0" xfId="0" applyBorder="1" applyAlignment="1">
      <alignment horizontal="right"/>
    </xf>
    <xf numFmtId="9" fontId="0" fillId="0" borderId="0" xfId="1" applyFont="1" applyBorder="1" applyAlignment="1">
      <alignment horizontal="left"/>
    </xf>
    <xf numFmtId="0" fontId="0" fillId="0" borderId="7" xfId="0" applyFill="1" applyBorder="1"/>
    <xf numFmtId="44" fontId="0" fillId="6" borderId="1" xfId="6" applyFont="1" applyFill="1" applyBorder="1"/>
    <xf numFmtId="9" fontId="0" fillId="6" borderId="1" xfId="1" applyNumberFormat="1" applyFont="1" applyFill="1" applyBorder="1"/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7" borderId="0" xfId="0" applyFill="1"/>
    <xf numFmtId="0" fontId="2" fillId="7" borderId="0" xfId="0" applyFont="1" applyFill="1"/>
  </cellXfs>
  <cellStyles count="7">
    <cellStyle name="Comma 2" xfId="4" xr:uid="{46F074E3-F5ED-445F-8823-07D10E92AF0D}"/>
    <cellStyle name="Currency" xfId="6" builtinId="4"/>
    <cellStyle name="Nor}al" xfId="2" xr:uid="{E9EE52DD-026A-4079-A683-AC736F4B4216}"/>
    <cellStyle name="Normal" xfId="0" builtinId="0"/>
    <cellStyle name="Normal 2" xfId="3" xr:uid="{59FAF96A-291D-4F8C-BA4B-957D2EC7F531}"/>
    <cellStyle name="Percent" xfId="1" builtinId="5"/>
    <cellStyle name="Style 1" xfId="5" xr:uid="{6E712E99-1E97-451E-A60C-3233FA91DA0F}"/>
  </cellStyles>
  <dxfs count="0"/>
  <tableStyles count="0" defaultTableStyle="TableStyleMedium2" defaultPivotStyle="PivotStyleLight16"/>
  <colors>
    <mruColors>
      <color rgb="FFFF0000"/>
      <color rgb="FFFFFFE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21EC-17BC-4191-B1D9-8243B3AFDB09}">
  <dimension ref="A2:O63"/>
  <sheetViews>
    <sheetView showGridLines="0" topLeftCell="A10" zoomScaleNormal="100" workbookViewId="0">
      <selection activeCell="D8" sqref="D8"/>
    </sheetView>
  </sheetViews>
  <sheetFormatPr defaultColWidth="8.6640625" defaultRowHeight="14.4" x14ac:dyDescent="0.3"/>
  <cols>
    <col min="1" max="1" width="29.88671875" customWidth="1"/>
    <col min="2" max="2" width="2.5546875" customWidth="1"/>
    <col min="3" max="3" width="16.109375" customWidth="1"/>
    <col min="4" max="4" width="19.21875" customWidth="1"/>
    <col min="5" max="5" width="15.33203125" customWidth="1"/>
    <col min="6" max="11" width="16.109375" customWidth="1"/>
    <col min="12" max="12" width="16.6640625" customWidth="1"/>
    <col min="13" max="13" width="14.6640625" customWidth="1"/>
    <col min="14" max="15" width="14.6640625" bestFit="1" customWidth="1"/>
  </cols>
  <sheetData>
    <row r="2" spans="1:11" x14ac:dyDescent="0.3">
      <c r="A2" s="59" t="s">
        <v>71</v>
      </c>
      <c r="B2" s="60"/>
      <c r="C2" s="61"/>
      <c r="G2" s="3"/>
    </row>
    <row r="3" spans="1:11" x14ac:dyDescent="0.3">
      <c r="A3" s="6" t="s">
        <v>0</v>
      </c>
      <c r="B3" s="46" t="s">
        <v>1</v>
      </c>
      <c r="C3" s="47"/>
    </row>
    <row r="4" spans="1:11" x14ac:dyDescent="0.3">
      <c r="A4" s="1" t="s">
        <v>2</v>
      </c>
      <c r="B4" s="18" t="s">
        <v>3</v>
      </c>
      <c r="C4" s="30">
        <v>45000000</v>
      </c>
      <c r="D4" s="31"/>
      <c r="E4" s="16"/>
    </row>
    <row r="5" spans="1:11" x14ac:dyDescent="0.3">
      <c r="A5" s="17" t="s">
        <v>4</v>
      </c>
      <c r="B5" s="18" t="s">
        <v>5</v>
      </c>
      <c r="C5" s="30">
        <v>11000000</v>
      </c>
    </row>
    <row r="6" spans="1:11" x14ac:dyDescent="0.3">
      <c r="A6" s="48" t="s">
        <v>30</v>
      </c>
      <c r="B6" s="49"/>
      <c r="C6" s="50"/>
    </row>
    <row r="7" spans="1:11" x14ac:dyDescent="0.3">
      <c r="A7" s="17" t="s">
        <v>62</v>
      </c>
      <c r="B7" s="28" t="s">
        <v>6</v>
      </c>
      <c r="C7" s="29">
        <v>0.25</v>
      </c>
      <c r="E7" s="5"/>
      <c r="F7" s="5"/>
      <c r="G7" s="5"/>
      <c r="H7" s="5"/>
      <c r="I7" s="5"/>
      <c r="J7" s="5"/>
      <c r="K7" s="5"/>
    </row>
    <row r="8" spans="1:11" x14ac:dyDescent="0.3">
      <c r="A8" s="1" t="s">
        <v>61</v>
      </c>
      <c r="B8" s="18" t="s">
        <v>6</v>
      </c>
      <c r="C8" s="19">
        <v>0.3</v>
      </c>
    </row>
    <row r="9" spans="1:11" x14ac:dyDescent="0.3">
      <c r="A9" s="1" t="s">
        <v>60</v>
      </c>
      <c r="B9" s="18" t="s">
        <v>6</v>
      </c>
      <c r="C9" s="19">
        <v>0.2</v>
      </c>
    </row>
    <row r="10" spans="1:11" x14ac:dyDescent="0.3">
      <c r="A10" s="56" t="s">
        <v>63</v>
      </c>
      <c r="B10" s="54"/>
      <c r="C10" s="55"/>
    </row>
    <row r="12" spans="1:11" x14ac:dyDescent="0.3">
      <c r="A12" s="59" t="s">
        <v>7</v>
      </c>
      <c r="B12" s="60"/>
      <c r="C12" s="60"/>
      <c r="D12" s="60"/>
      <c r="E12" s="60"/>
      <c r="F12" s="60"/>
      <c r="G12" s="60"/>
      <c r="H12" s="60"/>
      <c r="I12" s="60"/>
      <c r="J12" s="60"/>
    </row>
    <row r="13" spans="1:11" x14ac:dyDescent="0.3">
      <c r="A13" s="23" t="s">
        <v>8</v>
      </c>
      <c r="B13" s="24"/>
      <c r="C13" s="22"/>
      <c r="D13" s="22" t="s">
        <v>9</v>
      </c>
      <c r="E13" s="2" t="s">
        <v>64</v>
      </c>
      <c r="F13" s="2" t="s">
        <v>65</v>
      </c>
      <c r="G13" s="2" t="s">
        <v>66</v>
      </c>
      <c r="H13" s="2" t="s">
        <v>67</v>
      </c>
      <c r="I13" s="2" t="s">
        <v>68</v>
      </c>
      <c r="J13" s="2" t="s">
        <v>69</v>
      </c>
    </row>
    <row r="14" spans="1:11" x14ac:dyDescent="0.3">
      <c r="A14" s="51" t="s">
        <v>49</v>
      </c>
      <c r="B14" s="52"/>
      <c r="C14" s="53"/>
      <c r="D14" s="1" t="str">
        <f>A8</f>
        <v xml:space="preserve">Consult </v>
      </c>
      <c r="E14" s="12">
        <v>300000</v>
      </c>
      <c r="F14" s="12">
        <v>0</v>
      </c>
      <c r="G14" s="12">
        <v>0</v>
      </c>
      <c r="H14" s="12">
        <v>0</v>
      </c>
      <c r="I14" s="12">
        <v>0</v>
      </c>
      <c r="J14" s="12">
        <f>SUM(E14:I14)</f>
        <v>300000</v>
      </c>
    </row>
    <row r="15" spans="1:11" x14ac:dyDescent="0.3">
      <c r="A15" s="51" t="s">
        <v>17</v>
      </c>
      <c r="B15" s="52"/>
      <c r="C15" s="53"/>
      <c r="D15" s="1" t="str">
        <f>A8</f>
        <v xml:space="preserve">Consult </v>
      </c>
      <c r="E15" s="12">
        <v>2800000</v>
      </c>
      <c r="F15" s="12">
        <f>E15</f>
        <v>2800000</v>
      </c>
      <c r="G15" s="12">
        <f>F15/12*9</f>
        <v>2100000</v>
      </c>
      <c r="H15" s="12">
        <v>0</v>
      </c>
      <c r="I15" s="12">
        <v>0</v>
      </c>
      <c r="J15" s="12">
        <f>SUM(E15:I15)</f>
        <v>7700000</v>
      </c>
    </row>
    <row r="16" spans="1:11" x14ac:dyDescent="0.3">
      <c r="A16" s="51" t="s">
        <v>50</v>
      </c>
      <c r="B16" s="52"/>
      <c r="C16" s="53"/>
      <c r="D16" s="1" t="str">
        <f>A9</f>
        <v xml:space="preserve">Third Party SW </v>
      </c>
      <c r="E16" s="12">
        <v>6850000</v>
      </c>
      <c r="F16" s="12">
        <v>0</v>
      </c>
      <c r="G16" s="12">
        <v>0</v>
      </c>
      <c r="H16" s="12">
        <v>0</v>
      </c>
      <c r="I16" s="12">
        <v>0</v>
      </c>
      <c r="J16" s="12">
        <f>SUM(E16:I16)</f>
        <v>6850000</v>
      </c>
    </row>
    <row r="17" spans="1:11" x14ac:dyDescent="0.3">
      <c r="A17" s="51" t="s">
        <v>51</v>
      </c>
      <c r="B17" s="52"/>
      <c r="C17" s="53"/>
      <c r="D17" s="1" t="str">
        <f>A9</f>
        <v xml:space="preserve">Third Party SW </v>
      </c>
      <c r="E17" s="12">
        <v>5300000</v>
      </c>
      <c r="F17" s="12">
        <v>0</v>
      </c>
      <c r="G17" s="12">
        <v>0</v>
      </c>
      <c r="H17" s="12">
        <v>0</v>
      </c>
      <c r="I17" s="12">
        <v>0</v>
      </c>
      <c r="J17" s="12">
        <f>SUM(E17:I17)</f>
        <v>5300000</v>
      </c>
    </row>
    <row r="18" spans="1:11" x14ac:dyDescent="0.3">
      <c r="A18" s="51" t="s">
        <v>15</v>
      </c>
      <c r="B18" s="52"/>
      <c r="C18" s="53"/>
      <c r="D18" s="1" t="str">
        <f>A7</f>
        <v xml:space="preserve">Managed Services </v>
      </c>
      <c r="E18" s="12">
        <v>780000</v>
      </c>
      <c r="F18" s="12">
        <f>E18</f>
        <v>780000</v>
      </c>
      <c r="G18" s="12">
        <f t="shared" ref="G18:H19" si="0">F18</f>
        <v>780000</v>
      </c>
      <c r="H18" s="12">
        <f t="shared" si="0"/>
        <v>780000</v>
      </c>
      <c r="I18" s="12">
        <f>H18</f>
        <v>780000</v>
      </c>
      <c r="J18" s="12">
        <f>SUM(E18:I18)</f>
        <v>3900000</v>
      </c>
    </row>
    <row r="19" spans="1:11" x14ac:dyDescent="0.3">
      <c r="A19" s="51" t="s">
        <v>16</v>
      </c>
      <c r="B19" s="52"/>
      <c r="C19" s="53"/>
      <c r="D19" s="1" t="str">
        <f>A7</f>
        <v xml:space="preserve">Managed Services </v>
      </c>
      <c r="E19" s="12">
        <v>1800000</v>
      </c>
      <c r="F19" s="12">
        <f>E19</f>
        <v>1800000</v>
      </c>
      <c r="G19" s="12">
        <f t="shared" si="0"/>
        <v>1800000</v>
      </c>
      <c r="H19" s="12">
        <f t="shared" si="0"/>
        <v>1800000</v>
      </c>
      <c r="I19" s="12">
        <f>H19</f>
        <v>1800000</v>
      </c>
      <c r="J19" s="12">
        <f>SUM(E19:I19)</f>
        <v>9000000</v>
      </c>
    </row>
    <row r="20" spans="1:11" ht="13.8" customHeight="1" x14ac:dyDescent="0.3">
      <c r="A20" s="26" t="s">
        <v>18</v>
      </c>
      <c r="B20" s="8"/>
      <c r="C20" s="25"/>
      <c r="D20" s="25"/>
      <c r="E20" s="13">
        <f>SUM(E14:E19)</f>
        <v>17830000</v>
      </c>
      <c r="F20" s="13">
        <f>SUM(F14:F19)</f>
        <v>5380000</v>
      </c>
      <c r="G20" s="13">
        <f>SUM(G14:G19)</f>
        <v>4680000</v>
      </c>
      <c r="H20" s="13">
        <f>SUM(H14:H19)</f>
        <v>2580000</v>
      </c>
      <c r="I20" s="13">
        <f>SUM(I14:I19)</f>
        <v>2580000</v>
      </c>
      <c r="J20" s="13">
        <f>SUM(E20:I20)</f>
        <v>33050000</v>
      </c>
    </row>
    <row r="22" spans="1:11" x14ac:dyDescent="0.3">
      <c r="A22" s="59" t="s">
        <v>19</v>
      </c>
      <c r="B22" s="60"/>
      <c r="C22" s="60"/>
      <c r="D22" s="60"/>
      <c r="E22" s="60"/>
      <c r="F22" s="60"/>
      <c r="G22" s="60"/>
      <c r="H22" s="60"/>
      <c r="I22" s="60"/>
      <c r="J22" s="60"/>
    </row>
    <row r="23" spans="1:11" x14ac:dyDescent="0.3">
      <c r="A23" s="23" t="s">
        <v>8</v>
      </c>
      <c r="B23" s="24"/>
      <c r="C23" s="22"/>
      <c r="D23" s="2" t="s">
        <v>9</v>
      </c>
      <c r="E23" s="2" t="str">
        <f>E13</f>
        <v>Y1</v>
      </c>
      <c r="F23" s="2" t="str">
        <f t="shared" ref="F23:J23" si="1">F13</f>
        <v>Y2</v>
      </c>
      <c r="G23" s="2" t="str">
        <f t="shared" si="1"/>
        <v>Y3</v>
      </c>
      <c r="H23" s="2" t="str">
        <f t="shared" si="1"/>
        <v>Y4</v>
      </c>
      <c r="I23" s="2" t="str">
        <f t="shared" si="1"/>
        <v>Y5</v>
      </c>
      <c r="J23" s="2" t="str">
        <f t="shared" si="1"/>
        <v xml:space="preserve">Total </v>
      </c>
      <c r="K23" s="41" t="s">
        <v>30</v>
      </c>
    </row>
    <row r="24" spans="1:11" x14ac:dyDescent="0.3">
      <c r="A24" s="51" t="str">
        <f>A14</f>
        <v>Discovery Phase</v>
      </c>
      <c r="B24" s="52"/>
      <c r="C24" s="53"/>
      <c r="D24" s="20" t="str">
        <f>D14</f>
        <v xml:space="preserve">Consult </v>
      </c>
      <c r="E24" s="27">
        <f>E14/(1-$K24)</f>
        <v>428571.42857142858</v>
      </c>
      <c r="F24" s="27">
        <f>F14/(1-$K24)</f>
        <v>0</v>
      </c>
      <c r="G24" s="27">
        <f>G14/(1-$K24)</f>
        <v>0</v>
      </c>
      <c r="H24" s="27">
        <f>H14/(1-$K24)</f>
        <v>0</v>
      </c>
      <c r="I24" s="27">
        <f>I14/(1-$K24)</f>
        <v>0</v>
      </c>
      <c r="J24" s="9">
        <f>SUM(E24:I24)</f>
        <v>428571.42857142858</v>
      </c>
      <c r="K24" s="40">
        <f>_xlfn.XLOOKUP(D24,$A$7:$A$9,$C$7:$C$9)</f>
        <v>0.3</v>
      </c>
    </row>
    <row r="25" spans="1:11" x14ac:dyDescent="0.3">
      <c r="A25" s="51" t="str">
        <f t="shared" ref="A25:A29" si="2">A15</f>
        <v>Migration and Application Modernization</v>
      </c>
      <c r="B25" s="52"/>
      <c r="C25" s="53"/>
      <c r="D25" s="1" t="str">
        <f>D15</f>
        <v xml:space="preserve">Consult </v>
      </c>
      <c r="E25" s="27">
        <f>E15/(1-$K25)</f>
        <v>4000000.0000000005</v>
      </c>
      <c r="F25" s="27">
        <f>F15/(1-$K25)</f>
        <v>4000000.0000000005</v>
      </c>
      <c r="G25" s="27">
        <f>G15/(1-$K25)</f>
        <v>3000000</v>
      </c>
      <c r="H25" s="27">
        <f>H15/(1-$K25)</f>
        <v>0</v>
      </c>
      <c r="I25" s="27">
        <f>I15/(1-$K25)</f>
        <v>0</v>
      </c>
      <c r="J25" s="9">
        <f>SUM(E25:I25)</f>
        <v>11000000</v>
      </c>
      <c r="K25" s="40">
        <f>_xlfn.XLOOKUP(D25,$A$7:$A$9,$C$7:$C$9)</f>
        <v>0.3</v>
      </c>
    </row>
    <row r="26" spans="1:11" x14ac:dyDescent="0.3">
      <c r="A26" s="51" t="str">
        <f t="shared" si="2"/>
        <v>Advanced SW License for 6 years</v>
      </c>
      <c r="B26" s="52"/>
      <c r="C26" s="53"/>
      <c r="D26" s="1" t="str">
        <f>D16</f>
        <v xml:space="preserve">Third Party SW </v>
      </c>
      <c r="E26" s="27">
        <f>E16/(1-$K26)</f>
        <v>8562500</v>
      </c>
      <c r="F26" s="27">
        <f>F16/(1-$K26)</f>
        <v>0</v>
      </c>
      <c r="G26" s="27">
        <f>G16/(1-$K26)</f>
        <v>0</v>
      </c>
      <c r="H26" s="27">
        <f>H16/(1-$K26)</f>
        <v>0</v>
      </c>
      <c r="I26" s="27">
        <f>I16/(1-$K26)</f>
        <v>0</v>
      </c>
      <c r="J26" s="9">
        <f>SUM(E26:I26)</f>
        <v>8562500</v>
      </c>
      <c r="K26" s="40">
        <f>_xlfn.XLOOKUP(D26,$A$7:$A$9,$C$7:$C$9)</f>
        <v>0.2</v>
      </c>
    </row>
    <row r="27" spans="1:11" x14ac:dyDescent="0.3">
      <c r="A27" s="51" t="str">
        <f t="shared" si="2"/>
        <v>Microfocus SW Licenses for 6 years</v>
      </c>
      <c r="B27" s="52"/>
      <c r="C27" s="53"/>
      <c r="D27" s="1" t="str">
        <f>D17</f>
        <v xml:space="preserve">Third Party SW </v>
      </c>
      <c r="E27" s="27">
        <f>E17/(1-$K27)</f>
        <v>6625000</v>
      </c>
      <c r="F27" s="27">
        <f>F17/(1-$K27)</f>
        <v>0</v>
      </c>
      <c r="G27" s="27">
        <f>G17/(1-$K27)</f>
        <v>0</v>
      </c>
      <c r="H27" s="27">
        <f>H17/(1-$K27)</f>
        <v>0</v>
      </c>
      <c r="I27" s="27">
        <f>I17/(1-$K27)</f>
        <v>0</v>
      </c>
      <c r="J27" s="9">
        <f>SUM(E27:I27)</f>
        <v>6625000</v>
      </c>
      <c r="K27" s="40">
        <f>_xlfn.XLOOKUP(D27,$A$7:$A$9,$C$7:$C$9)</f>
        <v>0.2</v>
      </c>
    </row>
    <row r="28" spans="1:11" x14ac:dyDescent="0.3">
      <c r="A28" s="51" t="str">
        <f t="shared" si="2"/>
        <v>Network Services</v>
      </c>
      <c r="B28" s="52"/>
      <c r="C28" s="53"/>
      <c r="D28" s="1" t="str">
        <f>D18</f>
        <v xml:space="preserve">Managed Services </v>
      </c>
      <c r="E28" s="27">
        <f>E18/(1-$K28)</f>
        <v>1040000</v>
      </c>
      <c r="F28" s="27">
        <f>F18/(1-$K28)</f>
        <v>1040000</v>
      </c>
      <c r="G28" s="27">
        <f>G18/(1-$K28)</f>
        <v>1040000</v>
      </c>
      <c r="H28" s="27">
        <f>H18/(1-$K28)</f>
        <v>1040000</v>
      </c>
      <c r="I28" s="27">
        <f>I18/(1-$K28)</f>
        <v>1040000</v>
      </c>
      <c r="J28" s="9">
        <f>SUM(E28:I28)</f>
        <v>5200000</v>
      </c>
      <c r="K28" s="40">
        <f>_xlfn.XLOOKUP(D28,$A$7:$A$9,$C$7:$C$9)</f>
        <v>0.25</v>
      </c>
    </row>
    <row r="29" spans="1:11" x14ac:dyDescent="0.3">
      <c r="A29" s="51" t="str">
        <f t="shared" si="2"/>
        <v>Managed Infrastructure  Services</v>
      </c>
      <c r="B29" s="52"/>
      <c r="C29" s="53"/>
      <c r="D29" s="1" t="str">
        <f>D19</f>
        <v xml:space="preserve">Managed Services </v>
      </c>
      <c r="E29" s="27">
        <f>E19/(1-$K29)</f>
        <v>2400000</v>
      </c>
      <c r="F29" s="27">
        <f>F19/(1-$K29)</f>
        <v>2400000</v>
      </c>
      <c r="G29" s="27">
        <f>G19/(1-$K29)</f>
        <v>2400000</v>
      </c>
      <c r="H29" s="27">
        <f>H19/(1-$K29)</f>
        <v>2400000</v>
      </c>
      <c r="I29" s="27">
        <f>I19/(1-$K29)</f>
        <v>2400000</v>
      </c>
      <c r="J29" s="9">
        <f>SUM(E29:I29)</f>
        <v>12000000</v>
      </c>
      <c r="K29" s="40">
        <f>_xlfn.XLOOKUP(D29,$A$7:$A$9,$C$7:$C$9)</f>
        <v>0.25</v>
      </c>
    </row>
    <row r="30" spans="1:11" ht="16.8" customHeight="1" x14ac:dyDescent="0.3">
      <c r="A30" s="26" t="s">
        <v>18</v>
      </c>
      <c r="B30" s="8"/>
      <c r="C30" s="25"/>
      <c r="D30" s="4"/>
      <c r="E30" s="10">
        <f>SUM(E24:E29)</f>
        <v>23056071.428571429</v>
      </c>
      <c r="F30" s="10">
        <f>SUM(F24:F29)</f>
        <v>7440000</v>
      </c>
      <c r="G30" s="10">
        <f>SUM(G24:G29)</f>
        <v>6440000</v>
      </c>
      <c r="H30" s="10">
        <f>SUM(H24:H29)</f>
        <v>3440000</v>
      </c>
      <c r="I30" s="10">
        <f>SUM(I24:I29)</f>
        <v>3440000</v>
      </c>
      <c r="J30" s="10">
        <f>SUM(E30:I30)</f>
        <v>43816071.428571433</v>
      </c>
    </row>
    <row r="32" spans="1:11" x14ac:dyDescent="0.3">
      <c r="D32" s="59" t="s">
        <v>20</v>
      </c>
      <c r="E32" s="60"/>
      <c r="F32" s="60"/>
      <c r="G32" s="60"/>
      <c r="H32" s="60"/>
      <c r="I32" s="60"/>
      <c r="J32" s="61"/>
    </row>
    <row r="33" spans="3:15" x14ac:dyDescent="0.3">
      <c r="D33" s="2" t="s">
        <v>9</v>
      </c>
      <c r="E33" s="2" t="str">
        <f>E23</f>
        <v>Y1</v>
      </c>
      <c r="F33" s="2" t="str">
        <f t="shared" ref="F33:I33" si="3">F23</f>
        <v>Y2</v>
      </c>
      <c r="G33" s="2" t="str">
        <f t="shared" si="3"/>
        <v>Y3</v>
      </c>
      <c r="H33" s="2" t="str">
        <f t="shared" si="3"/>
        <v>Y4</v>
      </c>
      <c r="I33" s="2" t="str">
        <f t="shared" si="3"/>
        <v>Y5</v>
      </c>
      <c r="J33" s="2" t="str">
        <f>J23</f>
        <v xml:space="preserve">Total </v>
      </c>
      <c r="K33" s="41" t="s">
        <v>30</v>
      </c>
    </row>
    <row r="34" spans="3:15" x14ac:dyDescent="0.3">
      <c r="D34" s="1" t="str">
        <f>D24</f>
        <v xml:space="preserve">Consult </v>
      </c>
      <c r="E34" s="27">
        <f>E58</f>
        <v>4531506.3548343899</v>
      </c>
      <c r="F34" s="27">
        <f>F58</f>
        <v>4102934.9262629617</v>
      </c>
      <c r="G34" s="27">
        <f>G58</f>
        <v>3102934.9262629612</v>
      </c>
      <c r="H34" s="27">
        <f>H58</f>
        <v>0</v>
      </c>
      <c r="I34" s="27">
        <f>I58</f>
        <v>0</v>
      </c>
      <c r="J34" s="12">
        <f>SUM(E34:I34)</f>
        <v>11737376.207360314</v>
      </c>
      <c r="K34" s="40">
        <f>(J34-SUMIF($D$14:$D$19,D34,$J$14:$J$19))/J34</f>
        <v>0.31841666666666674</v>
      </c>
    </row>
    <row r="35" spans="3:15" x14ac:dyDescent="0.3">
      <c r="D35" s="1" t="str">
        <f>D26</f>
        <v xml:space="preserve">Third Party SW </v>
      </c>
      <c r="E35" s="27">
        <f>E59+E63</f>
        <v>2935543.4067501556</v>
      </c>
      <c r="F35" s="27">
        <f>F59-E63</f>
        <v>4367403.9416420674</v>
      </c>
      <c r="G35" s="27">
        <f>G59</f>
        <v>3431531.9721237309</v>
      </c>
      <c r="H35" s="27">
        <f>H59</f>
        <v>3431531.9721237309</v>
      </c>
      <c r="I35" s="27">
        <f>I59</f>
        <v>1431861.3079227288</v>
      </c>
      <c r="J35" s="12">
        <f>SUM(E35:I35)</f>
        <v>15597872.600562412</v>
      </c>
      <c r="K35" s="40">
        <f>(J35-SUMIF($D$14:$D$19,D35,$J$14:$J$19))/J35</f>
        <v>0.22104761904761885</v>
      </c>
    </row>
    <row r="36" spans="3:15" x14ac:dyDescent="0.3">
      <c r="D36" s="1" t="str">
        <f>D28</f>
        <v xml:space="preserve">Managed Services </v>
      </c>
      <c r="E36" s="27">
        <f>E60</f>
        <v>3532950.238415454</v>
      </c>
      <c r="F36" s="27">
        <f>F60</f>
        <v>3532950.238415454</v>
      </c>
      <c r="G36" s="27">
        <f>G60</f>
        <v>3532950.238415454</v>
      </c>
      <c r="H36" s="27">
        <f>H60</f>
        <v>3532950.238415454</v>
      </c>
      <c r="I36" s="27">
        <f>I60</f>
        <v>3532950.238415454</v>
      </c>
      <c r="J36" s="12">
        <f>SUM(E36:I36)</f>
        <v>17664751.192077272</v>
      </c>
      <c r="K36" s="40">
        <f>(J36-SUMIF($D$14:$D$19,D36,$J$14:$J$19))/J36</f>
        <v>0.26973214285714286</v>
      </c>
    </row>
    <row r="37" spans="3:15" x14ac:dyDescent="0.3">
      <c r="D37" s="1"/>
      <c r="E37" s="1"/>
      <c r="F37" s="1"/>
      <c r="G37" s="1"/>
      <c r="H37" s="1"/>
      <c r="I37" s="1"/>
      <c r="J37" s="12"/>
      <c r="O37" s="14"/>
    </row>
    <row r="38" spans="3:15" x14ac:dyDescent="0.3">
      <c r="D38" s="26" t="s">
        <v>18</v>
      </c>
      <c r="E38" s="13">
        <f>SUM(E34:E37)</f>
        <v>11000000</v>
      </c>
      <c r="F38" s="13">
        <f>SUM(F34:F37)</f>
        <v>12003289.106320482</v>
      </c>
      <c r="G38" s="13">
        <f>SUM(G34:G37)</f>
        <v>10067417.136802146</v>
      </c>
      <c r="H38" s="13">
        <f>SUM(H34:H37)</f>
        <v>6964482.2105391845</v>
      </c>
      <c r="I38" s="13">
        <f>SUM(I34:I37)</f>
        <v>4964811.5463381829</v>
      </c>
      <c r="J38" s="13">
        <f>SUM(E38:I38)</f>
        <v>45000000</v>
      </c>
    </row>
    <row r="42" spans="3:15" s="62" customFormat="1" x14ac:dyDescent="0.3">
      <c r="C42" s="63" t="s">
        <v>56</v>
      </c>
    </row>
    <row r="43" spans="3:15" ht="16.95" customHeight="1" x14ac:dyDescent="0.3"/>
    <row r="44" spans="3:15" s="5" customFormat="1" x14ac:dyDescent="0.3"/>
    <row r="46" spans="3:15" x14ac:dyDescent="0.3">
      <c r="D46" s="59" t="s">
        <v>57</v>
      </c>
      <c r="E46" s="60"/>
      <c r="F46" s="60"/>
      <c r="G46" s="60"/>
      <c r="H46" s="60"/>
      <c r="I46" s="60"/>
      <c r="J46" s="61"/>
    </row>
    <row r="47" spans="3:15" ht="26.4" x14ac:dyDescent="0.3">
      <c r="D47" s="2" t="s">
        <v>9</v>
      </c>
      <c r="E47" s="2" t="str">
        <f>E33</f>
        <v>Y1</v>
      </c>
      <c r="F47" s="2" t="str">
        <f t="shared" ref="F47:I47" si="4">F33</f>
        <v>Y2</v>
      </c>
      <c r="G47" s="2" t="str">
        <f t="shared" si="4"/>
        <v>Y3</v>
      </c>
      <c r="H47" s="2" t="str">
        <f t="shared" si="4"/>
        <v>Y4</v>
      </c>
      <c r="I47" s="2" t="str">
        <f t="shared" si="4"/>
        <v>Y5</v>
      </c>
      <c r="J47" s="2" t="str">
        <f>J23</f>
        <v xml:space="preserve">Total </v>
      </c>
      <c r="K47" s="42" t="s">
        <v>53</v>
      </c>
      <c r="L47" s="41" t="s">
        <v>54</v>
      </c>
      <c r="M47" s="41" t="s">
        <v>55</v>
      </c>
    </row>
    <row r="48" spans="3:15" x14ac:dyDescent="0.3">
      <c r="D48" s="1" t="str">
        <f>$D$24</f>
        <v xml:space="preserve">Consult </v>
      </c>
      <c r="E48" s="27">
        <f>SUMIF($D$24:$D$29,$D48,E$24:E$29)</f>
        <v>4428571.4285714291</v>
      </c>
      <c r="F48" s="27">
        <f>SUMIF($D$24:$D$29,$D48,F$24:F$29)</f>
        <v>4000000.0000000005</v>
      </c>
      <c r="G48" s="27">
        <f>SUMIF($D$24:$D$29,$D48,G$24:G$29)</f>
        <v>3000000</v>
      </c>
      <c r="H48" s="27">
        <f>SUMIF($D$24:$D$29,$D48,H$24:H$29)</f>
        <v>0</v>
      </c>
      <c r="I48" s="27">
        <f>SUMIF($D$24:$D$29,$D48,I$24:I$29)</f>
        <v>0</v>
      </c>
      <c r="J48" s="12">
        <f>SUM(E48:I48)</f>
        <v>11428571.428571429</v>
      </c>
      <c r="K48" s="14">
        <f>J48/$J$52*$K$52</f>
        <v>308804.7787888833</v>
      </c>
      <c r="L48" s="14">
        <f>K48/COUNTIF($E48:$I48,"&lt;&gt;0")</f>
        <v>102934.9262629611</v>
      </c>
      <c r="M48" s="14">
        <f>J48+K48</f>
        <v>11737376.207360312</v>
      </c>
    </row>
    <row r="49" spans="4:13" x14ac:dyDescent="0.3">
      <c r="D49" s="1" t="str">
        <f>$D$26</f>
        <v xml:space="preserve">Third Party SW </v>
      </c>
      <c r="E49" s="27">
        <f>SUMIF($D$24:$D$29,$D49,E$24:E$29)</f>
        <v>15187500</v>
      </c>
      <c r="F49" s="27">
        <f>SUMIF($D$24:$D$29,$D49,F$24:F$29)</f>
        <v>0</v>
      </c>
      <c r="G49" s="27">
        <f>SUMIF($D$24:$D$29,$D49,G$24:G$29)</f>
        <v>0</v>
      </c>
      <c r="H49" s="27">
        <f>SUMIF($D$24:$D$29,$D49,H$24:H$29)</f>
        <v>0</v>
      </c>
      <c r="I49" s="27">
        <f>SUMIF($D$24:$D$29,$D49,I$24:I$29)</f>
        <v>0</v>
      </c>
      <c r="J49" s="12">
        <f>SUM(E49:I49)</f>
        <v>15187500</v>
      </c>
      <c r="K49" s="14">
        <f>J49/$J$52*$K$52</f>
        <v>410372.60056241445</v>
      </c>
      <c r="L49" s="14">
        <f>K49/COUNTIF($E49:$I49,"&lt;&gt;0")</f>
        <v>410372.60056241445</v>
      </c>
      <c r="M49" s="14">
        <f>J49+K49</f>
        <v>15597872.600562414</v>
      </c>
    </row>
    <row r="50" spans="4:13" x14ac:dyDescent="0.3">
      <c r="D50" s="1" t="str">
        <f>$D$28</f>
        <v xml:space="preserve">Managed Services </v>
      </c>
      <c r="E50" s="27">
        <f>SUMIF($D$24:$D$29,$D50,E$24:E$29)</f>
        <v>3440000</v>
      </c>
      <c r="F50" s="27">
        <f>SUMIF($D$24:$D$29,$D50,F$24:F$29)</f>
        <v>3440000</v>
      </c>
      <c r="G50" s="27">
        <f>SUMIF($D$24:$D$29,$D50,G$24:G$29)</f>
        <v>3440000</v>
      </c>
      <c r="H50" s="27">
        <f>SUMIF($D$24:$D$29,$D50,H$24:H$29)</f>
        <v>3440000</v>
      </c>
      <c r="I50" s="27">
        <f>SUMIF($D$24:$D$29,$D50,I$24:I$29)</f>
        <v>3440000</v>
      </c>
      <c r="J50" s="12">
        <f>SUM(E50:I50)</f>
        <v>17200000</v>
      </c>
      <c r="K50" s="14">
        <f>J50/$J$52*$K$52</f>
        <v>464751.19207726937</v>
      </c>
      <c r="L50" s="14">
        <f>K50/COUNTIF($E50:$I50,"&lt;&gt;0")</f>
        <v>92950.238415453874</v>
      </c>
      <c r="M50" s="14">
        <f>J50+K50</f>
        <v>17664751.192077268</v>
      </c>
    </row>
    <row r="51" spans="4:13" x14ac:dyDescent="0.3">
      <c r="D51" s="1"/>
      <c r="E51" s="1"/>
      <c r="F51" s="1"/>
      <c r="G51" s="1"/>
      <c r="H51" s="1"/>
      <c r="I51" s="1"/>
      <c r="J51" s="12"/>
    </row>
    <row r="52" spans="4:13" x14ac:dyDescent="0.3">
      <c r="D52" s="26" t="s">
        <v>18</v>
      </c>
      <c r="E52" s="13">
        <f>SUM(E48:E51)</f>
        <v>23056071.428571429</v>
      </c>
      <c r="F52" s="13">
        <f>SUM(F48:F51)</f>
        <v>7440000</v>
      </c>
      <c r="G52" s="13">
        <f>SUM(G48:G51)</f>
        <v>6440000</v>
      </c>
      <c r="H52" s="13">
        <f>SUM(H48:H51)</f>
        <v>3440000</v>
      </c>
      <c r="I52" s="13">
        <f>SUM(I48:I51)</f>
        <v>3440000</v>
      </c>
      <c r="J52" s="13">
        <f>SUM(E52:I52)</f>
        <v>43816071.428571433</v>
      </c>
      <c r="K52" s="31">
        <f>C4-J52</f>
        <v>1183928.5714285672</v>
      </c>
    </row>
    <row r="54" spans="4:13" x14ac:dyDescent="0.3">
      <c r="K54" s="40"/>
    </row>
    <row r="55" spans="4:13" x14ac:dyDescent="0.3">
      <c r="D55" t="s">
        <v>59</v>
      </c>
      <c r="E55" s="40">
        <v>0.18820149999999999</v>
      </c>
      <c r="F55" s="40">
        <v>0.28000000000000003</v>
      </c>
      <c r="G55" s="40">
        <v>0.22</v>
      </c>
      <c r="H55" s="40">
        <v>0.22</v>
      </c>
      <c r="I55" s="40">
        <f>(1-SUM($E$55:$H$55))</f>
        <v>9.1798500000000005E-2</v>
      </c>
      <c r="J55" s="15">
        <f>SUM(E55:I55)</f>
        <v>1</v>
      </c>
    </row>
    <row r="56" spans="4:13" x14ac:dyDescent="0.3">
      <c r="D56" s="59" t="s">
        <v>58</v>
      </c>
      <c r="E56" s="60"/>
      <c r="F56" s="60"/>
      <c r="G56" s="60"/>
      <c r="H56" s="60"/>
      <c r="I56" s="60"/>
      <c r="J56" s="61"/>
    </row>
    <row r="57" spans="4:13" x14ac:dyDescent="0.3">
      <c r="D57" s="2" t="s">
        <v>9</v>
      </c>
      <c r="E57" s="2" t="str">
        <f>E33</f>
        <v>Y1</v>
      </c>
      <c r="F57" s="2" t="str">
        <f t="shared" ref="F57:J57" si="5">F33</f>
        <v>Y2</v>
      </c>
      <c r="G57" s="2" t="str">
        <f t="shared" si="5"/>
        <v>Y3</v>
      </c>
      <c r="H57" s="2" t="str">
        <f t="shared" si="5"/>
        <v>Y4</v>
      </c>
      <c r="I57" s="2" t="str">
        <f t="shared" si="5"/>
        <v>Y5</v>
      </c>
      <c r="J57" s="2" t="str">
        <f t="shared" si="5"/>
        <v xml:space="preserve">Total </v>
      </c>
    </row>
    <row r="58" spans="4:13" x14ac:dyDescent="0.3">
      <c r="D58" s="1" t="str">
        <f>$D$24</f>
        <v xml:space="preserve">Consult </v>
      </c>
      <c r="E58" s="27">
        <f>E48+$L48</f>
        <v>4531506.3548343899</v>
      </c>
      <c r="F58" s="27">
        <f>F48+$L48</f>
        <v>4102934.9262629617</v>
      </c>
      <c r="G58" s="27">
        <f>G48+$L48</f>
        <v>3102934.9262629612</v>
      </c>
      <c r="H58" s="27">
        <f>H48</f>
        <v>0</v>
      </c>
      <c r="I58" s="27">
        <f>I48</f>
        <v>0</v>
      </c>
      <c r="J58" s="12">
        <f>SUM(E58:I58)</f>
        <v>11737376.207360314</v>
      </c>
    </row>
    <row r="59" spans="4:13" x14ac:dyDescent="0.3">
      <c r="D59" s="1" t="str">
        <f>$D$26</f>
        <v xml:space="preserve">Third Party SW </v>
      </c>
      <c r="E59" s="27">
        <f>$M49*E$55</f>
        <v>2935543.0202347469</v>
      </c>
      <c r="F59" s="27">
        <f>$M49*F$55</f>
        <v>4367404.3281574761</v>
      </c>
      <c r="G59" s="27">
        <f>$M49*G$55</f>
        <v>3431531.9721237309</v>
      </c>
      <c r="H59" s="27">
        <f>$M49*H$55</f>
        <v>3431531.9721237309</v>
      </c>
      <c r="I59" s="27">
        <f>$M49*I$55</f>
        <v>1431861.3079227288</v>
      </c>
      <c r="J59" s="12">
        <f>SUM(E59:I59)</f>
        <v>15597872.600562412</v>
      </c>
    </row>
    <row r="60" spans="4:13" x14ac:dyDescent="0.3">
      <c r="D60" s="1" t="str">
        <f>$D$28</f>
        <v xml:space="preserve">Managed Services </v>
      </c>
      <c r="E60" s="27">
        <f>E50+$L50</f>
        <v>3532950.238415454</v>
      </c>
      <c r="F60" s="27">
        <f>F50+$L50</f>
        <v>3532950.238415454</v>
      </c>
      <c r="G60" s="27">
        <f>G50+$L50</f>
        <v>3532950.238415454</v>
      </c>
      <c r="H60" s="27">
        <f>H50+$L50</f>
        <v>3532950.238415454</v>
      </c>
      <c r="I60" s="27">
        <f>I50+$L50</f>
        <v>3532950.238415454</v>
      </c>
      <c r="J60" s="12">
        <f>SUM(E60:I60)</f>
        <v>17664751.192077272</v>
      </c>
    </row>
    <row r="61" spans="4:13" x14ac:dyDescent="0.3">
      <c r="D61" s="1"/>
      <c r="E61" s="1"/>
      <c r="F61" s="1"/>
      <c r="G61" s="1"/>
      <c r="H61" s="1"/>
      <c r="I61" s="1"/>
      <c r="J61" s="12"/>
    </row>
    <row r="62" spans="4:13" x14ac:dyDescent="0.3">
      <c r="D62" s="26" t="s">
        <v>18</v>
      </c>
      <c r="E62" s="13">
        <f>SUM(E58:E61)</f>
        <v>10999999.613484591</v>
      </c>
      <c r="F62" s="13">
        <f>SUM(F58:F61)</f>
        <v>12003289.492835891</v>
      </c>
      <c r="G62" s="13">
        <f>SUM(G58:G61)</f>
        <v>10067417.136802146</v>
      </c>
      <c r="H62" s="13">
        <f>SUM(H58:H61)</f>
        <v>6964482.2105391845</v>
      </c>
      <c r="I62" s="13">
        <f>SUM(I58:I61)</f>
        <v>4964811.5463381829</v>
      </c>
      <c r="J62" s="13">
        <f>SUM(E62:I62)</f>
        <v>45000000</v>
      </c>
    </row>
    <row r="63" spans="4:13" x14ac:dyDescent="0.3">
      <c r="E63" s="31">
        <f>C5-E62</f>
        <v>0.38651540875434875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4:D20">
    <sortCondition ref="A14"/>
  </sortState>
  <mergeCells count="20">
    <mergeCell ref="D32:J32"/>
    <mergeCell ref="A2:C2"/>
    <mergeCell ref="B3:C3"/>
    <mergeCell ref="A22:J22"/>
    <mergeCell ref="A6:C6"/>
    <mergeCell ref="A14:C14"/>
    <mergeCell ref="A15:C15"/>
    <mergeCell ref="A16:C16"/>
    <mergeCell ref="A17:C17"/>
    <mergeCell ref="A18:C18"/>
    <mergeCell ref="A19:C19"/>
    <mergeCell ref="A12:J12"/>
    <mergeCell ref="A24:C24"/>
    <mergeCell ref="A25:C25"/>
    <mergeCell ref="A26:C26"/>
    <mergeCell ref="A27:C27"/>
    <mergeCell ref="A28:C28"/>
    <mergeCell ref="A29:C29"/>
    <mergeCell ref="D46:J46"/>
    <mergeCell ref="D56:J56"/>
  </mergeCells>
  <phoneticPr fontId="6" type="noConversion"/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8804-F22D-47B9-BE5A-4FA91D017CD5}">
  <dimension ref="A1:I40"/>
  <sheetViews>
    <sheetView showGridLines="0" tabSelected="1" zoomScaleNormal="100" workbookViewId="0">
      <selection activeCell="L21" sqref="L21"/>
    </sheetView>
  </sheetViews>
  <sheetFormatPr defaultColWidth="8.6640625" defaultRowHeight="14.4" x14ac:dyDescent="0.3"/>
  <cols>
    <col min="1" max="1" width="5.33203125" customWidth="1"/>
    <col min="2" max="2" width="47.44140625" bestFit="1" customWidth="1"/>
    <col min="3" max="3" width="2" bestFit="1" customWidth="1"/>
    <col min="4" max="4" width="13.6640625" bestFit="1" customWidth="1"/>
    <col min="5" max="6" width="12" bestFit="1" customWidth="1"/>
    <col min="7" max="8" width="11" bestFit="1" customWidth="1"/>
    <col min="9" max="9" width="12" bestFit="1" customWidth="1"/>
  </cols>
  <sheetData>
    <row r="1" spans="2:9" x14ac:dyDescent="0.3">
      <c r="B1" s="7"/>
      <c r="C1" s="7"/>
      <c r="D1" s="7"/>
      <c r="E1" s="7"/>
      <c r="F1" s="7"/>
      <c r="G1" s="7"/>
      <c r="H1" s="7"/>
    </row>
    <row r="2" spans="2:9" x14ac:dyDescent="0.3">
      <c r="B2" s="7"/>
      <c r="C2" s="7"/>
      <c r="D2" s="7"/>
      <c r="E2" s="7"/>
      <c r="F2" s="7"/>
      <c r="G2" s="7"/>
      <c r="H2" s="7"/>
    </row>
    <row r="3" spans="2:9" x14ac:dyDescent="0.3">
      <c r="B3" s="59" t="s">
        <v>70</v>
      </c>
      <c r="C3" s="60"/>
      <c r="D3" s="61"/>
    </row>
    <row r="4" spans="2:9" x14ac:dyDescent="0.3">
      <c r="B4" s="6" t="s">
        <v>0</v>
      </c>
      <c r="C4" s="46" t="s">
        <v>1</v>
      </c>
      <c r="D4" s="47"/>
    </row>
    <row r="5" spans="2:9" x14ac:dyDescent="0.3">
      <c r="B5" s="1" t="s">
        <v>21</v>
      </c>
      <c r="C5" s="18" t="s">
        <v>6</v>
      </c>
      <c r="D5" s="32">
        <v>0.1</v>
      </c>
    </row>
    <row r="6" spans="2:9" x14ac:dyDescent="0.3">
      <c r="B6" s="17" t="s">
        <v>22</v>
      </c>
      <c r="C6" s="18" t="s">
        <v>6</v>
      </c>
      <c r="D6" s="32">
        <v>0.1</v>
      </c>
    </row>
    <row r="7" spans="2:9" x14ac:dyDescent="0.3">
      <c r="B7" s="17" t="s">
        <v>23</v>
      </c>
      <c r="C7" s="18" t="s">
        <v>6</v>
      </c>
      <c r="D7" s="32">
        <v>0.2</v>
      </c>
    </row>
    <row r="8" spans="2:9" x14ac:dyDescent="0.3">
      <c r="B8" s="17" t="s">
        <v>24</v>
      </c>
      <c r="C8" s="33" t="s">
        <v>25</v>
      </c>
      <c r="D8" s="32">
        <v>0.15</v>
      </c>
    </row>
    <row r="9" spans="2:9" x14ac:dyDescent="0.3">
      <c r="B9" s="17" t="s">
        <v>26</v>
      </c>
      <c r="C9" s="33" t="s">
        <v>25</v>
      </c>
      <c r="D9" s="32">
        <v>0.2</v>
      </c>
    </row>
    <row r="11" spans="2:9" x14ac:dyDescent="0.3">
      <c r="B11" s="59" t="s">
        <v>27</v>
      </c>
      <c r="C11" s="60"/>
      <c r="D11" s="60"/>
      <c r="E11" s="60"/>
      <c r="F11" s="60"/>
      <c r="G11" s="60"/>
      <c r="H11" s="60"/>
      <c r="I11" s="61"/>
    </row>
    <row r="12" spans="2:9" x14ac:dyDescent="0.3">
      <c r="B12" s="44"/>
      <c r="C12" s="45"/>
      <c r="D12" s="2" t="s">
        <v>10</v>
      </c>
      <c r="E12" s="2" t="s">
        <v>11</v>
      </c>
      <c r="F12" s="2" t="s">
        <v>12</v>
      </c>
      <c r="G12" s="2" t="s">
        <v>13</v>
      </c>
      <c r="H12" s="2" t="s">
        <v>48</v>
      </c>
      <c r="I12" s="2" t="str">
        <f>'Pricing 1'!J47</f>
        <v xml:space="preserve">Total </v>
      </c>
    </row>
    <row r="13" spans="2:9" x14ac:dyDescent="0.3">
      <c r="B13" s="21" t="s">
        <v>28</v>
      </c>
      <c r="C13" s="20"/>
      <c r="D13" s="27">
        <f>'Pricing 1'!E34+'Pricing 1'!$J$35/5+'Pricing 1'!E36</f>
        <v>11184031.113362325</v>
      </c>
      <c r="E13" s="27">
        <f>'Pricing 1'!F34+'Pricing 1'!$J$35/5+'Pricing 1'!F36</f>
        <v>10755459.684790898</v>
      </c>
      <c r="F13" s="27">
        <f>'Pricing 1'!G34+'Pricing 1'!$J$35/5+'Pricing 1'!G36</f>
        <v>9755459.6847908981</v>
      </c>
      <c r="G13" s="27">
        <f>'Pricing 1'!H34+'Pricing 1'!$J$35/5+'Pricing 1'!H36</f>
        <v>6652524.7585279364</v>
      </c>
      <c r="H13" s="27">
        <f>'Pricing 1'!I34+'Pricing 1'!$J$35/5+'Pricing 1'!I36</f>
        <v>6652524.7585279364</v>
      </c>
      <c r="I13" s="12">
        <f>SUM(D13:H13)</f>
        <v>44999999.999999993</v>
      </c>
    </row>
    <row r="14" spans="2:9" x14ac:dyDescent="0.3">
      <c r="B14" s="21" t="s">
        <v>7</v>
      </c>
      <c r="C14" s="20"/>
      <c r="D14" s="27">
        <f>'Pricing 1'!E14+'Pricing 1'!E15+('Pricing 1'!$J$16+'Pricing 1'!$J$17)/5+'Pricing 1'!E18+'Pricing 1'!E19</f>
        <v>8110000</v>
      </c>
      <c r="E14" s="27">
        <f>'Pricing 1'!F14+'Pricing 1'!F15+('Pricing 1'!$J$16+'Pricing 1'!$J$17)/5+'Pricing 1'!F18+'Pricing 1'!F19</f>
        <v>7810000</v>
      </c>
      <c r="F14" s="27">
        <f>'Pricing 1'!G14+'Pricing 1'!G15+('Pricing 1'!$J$16+'Pricing 1'!$J$17)/5+'Pricing 1'!G18+'Pricing 1'!G19</f>
        <v>7110000</v>
      </c>
      <c r="G14" s="27">
        <f>'Pricing 1'!H14+'Pricing 1'!H15+('Pricing 1'!$J$16+'Pricing 1'!$J$17)/5+'Pricing 1'!H18+'Pricing 1'!H19</f>
        <v>5010000</v>
      </c>
      <c r="H14" s="27">
        <f>'Pricing 1'!I14+'Pricing 1'!I15+('Pricing 1'!$J$16+'Pricing 1'!$J$17)/5+'Pricing 1'!I18+'Pricing 1'!I19</f>
        <v>5010000</v>
      </c>
      <c r="I14" s="12">
        <f t="shared" ref="I14:I21" si="0">SUM(D14:H14)</f>
        <v>33050000</v>
      </c>
    </row>
    <row r="15" spans="2:9" x14ac:dyDescent="0.3">
      <c r="B15" s="21" t="s">
        <v>29</v>
      </c>
      <c r="C15" s="20"/>
      <c r="D15" s="27">
        <f>D13-D14</f>
        <v>3074031.1133623254</v>
      </c>
      <c r="E15" s="27">
        <f t="shared" ref="E15:H15" si="1">E13-E14</f>
        <v>2945459.6847908981</v>
      </c>
      <c r="F15" s="27">
        <f t="shared" si="1"/>
        <v>2645459.6847908981</v>
      </c>
      <c r="G15" s="27">
        <f t="shared" si="1"/>
        <v>1642524.7585279364</v>
      </c>
      <c r="H15" s="27">
        <f t="shared" si="1"/>
        <v>1642524.7585279364</v>
      </c>
      <c r="I15" s="12">
        <f t="shared" si="0"/>
        <v>11949999.999999994</v>
      </c>
    </row>
    <row r="16" spans="2:9" x14ac:dyDescent="0.3">
      <c r="B16" s="21" t="s">
        <v>30</v>
      </c>
      <c r="C16" s="20"/>
      <c r="D16" s="11">
        <f>D15/D13</f>
        <v>0.27485895579184955</v>
      </c>
      <c r="E16" s="11">
        <f t="shared" ref="E16:H16" si="2">E15/E13</f>
        <v>0.27385716381383679</v>
      </c>
      <c r="F16" s="11">
        <f t="shared" si="2"/>
        <v>0.27117734789220255</v>
      </c>
      <c r="G16" s="11">
        <f t="shared" si="2"/>
        <v>0.2469024645751777</v>
      </c>
      <c r="H16" s="11">
        <f t="shared" si="2"/>
        <v>0.2469024645751777</v>
      </c>
      <c r="I16" s="36">
        <f t="shared" ref="I16" si="3">I15/I13</f>
        <v>0.26555555555555549</v>
      </c>
    </row>
    <row r="17" spans="1:9" x14ac:dyDescent="0.3">
      <c r="B17" s="21" t="s">
        <v>24</v>
      </c>
      <c r="C17" s="20"/>
      <c r="D17" s="27">
        <f>D13*$D$8</f>
        <v>1677604.6670043487</v>
      </c>
      <c r="E17" s="27">
        <f t="shared" ref="E17:H17" si="4">E13*$D$8</f>
        <v>1613318.9527186346</v>
      </c>
      <c r="F17" s="27">
        <f t="shared" si="4"/>
        <v>1463318.9527186346</v>
      </c>
      <c r="G17" s="27">
        <f t="shared" si="4"/>
        <v>997878.71377919044</v>
      </c>
      <c r="H17" s="27">
        <f t="shared" si="4"/>
        <v>997878.71377919044</v>
      </c>
      <c r="I17" s="12">
        <f t="shared" si="0"/>
        <v>6749999.9999999991</v>
      </c>
    </row>
    <row r="18" spans="1:9" x14ac:dyDescent="0.3">
      <c r="B18" s="21" t="s">
        <v>31</v>
      </c>
      <c r="C18" s="20"/>
      <c r="D18" s="27">
        <f>D15-D17</f>
        <v>1396426.4463579766</v>
      </c>
      <c r="E18" s="27">
        <f t="shared" ref="E18:H18" si="5">E15-E17</f>
        <v>1332140.7320722635</v>
      </c>
      <c r="F18" s="27">
        <f t="shared" si="5"/>
        <v>1182140.7320722635</v>
      </c>
      <c r="G18" s="27">
        <f t="shared" si="5"/>
        <v>644646.04474874598</v>
      </c>
      <c r="H18" s="27">
        <f t="shared" si="5"/>
        <v>644646.04474874598</v>
      </c>
      <c r="I18" s="12">
        <f t="shared" si="0"/>
        <v>5199999.9999999953</v>
      </c>
    </row>
    <row r="19" spans="1:9" x14ac:dyDescent="0.3">
      <c r="B19" s="21" t="s">
        <v>32</v>
      </c>
      <c r="C19" s="20"/>
      <c r="D19" s="58">
        <f>D18/D13</f>
        <v>0.12485895579184957</v>
      </c>
      <c r="E19" s="58">
        <f t="shared" ref="E19:H19" si="6">E18/E13</f>
        <v>0.12385716381383677</v>
      </c>
      <c r="F19" s="58">
        <f t="shared" si="6"/>
        <v>0.12117734789220257</v>
      </c>
      <c r="G19" s="58">
        <f t="shared" si="6"/>
        <v>9.6902464575177705E-2</v>
      </c>
      <c r="H19" s="58">
        <f t="shared" si="6"/>
        <v>9.6902464575177705E-2</v>
      </c>
      <c r="I19" s="36">
        <f t="shared" ref="I19" si="7">I18/I13</f>
        <v>0.11555555555555547</v>
      </c>
    </row>
    <row r="20" spans="1:9" x14ac:dyDescent="0.3">
      <c r="B20" s="21" t="s">
        <v>26</v>
      </c>
      <c r="C20" s="20"/>
      <c r="D20" s="27">
        <f>D18*$D$9</f>
        <v>279285.28927159536</v>
      </c>
      <c r="E20" s="27">
        <f t="shared" ref="E20:H20" si="8">E18*$D$9</f>
        <v>266428.1464144527</v>
      </c>
      <c r="F20" s="27">
        <f t="shared" si="8"/>
        <v>236428.1464144527</v>
      </c>
      <c r="G20" s="27">
        <f t="shared" si="8"/>
        <v>128929.2089497492</v>
      </c>
      <c r="H20" s="27">
        <f t="shared" si="8"/>
        <v>128929.2089497492</v>
      </c>
      <c r="I20" s="12">
        <f t="shared" si="0"/>
        <v>1039999.9999999993</v>
      </c>
    </row>
    <row r="21" spans="1:9" x14ac:dyDescent="0.3">
      <c r="B21" s="21" t="s">
        <v>33</v>
      </c>
      <c r="C21" s="20"/>
      <c r="D21" s="27">
        <f>D18-D20</f>
        <v>1117141.1570863812</v>
      </c>
      <c r="E21" s="27">
        <f t="shared" ref="E21:G21" si="9">E18-E20</f>
        <v>1065712.5856578108</v>
      </c>
      <c r="F21" s="27">
        <f t="shared" si="9"/>
        <v>945712.58565781079</v>
      </c>
      <c r="G21" s="27">
        <f t="shared" si="9"/>
        <v>515716.83579899679</v>
      </c>
      <c r="H21" s="27">
        <f>H18-H20</f>
        <v>515716.83579899679</v>
      </c>
      <c r="I21" s="12">
        <f t="shared" si="0"/>
        <v>4159999.9999999967</v>
      </c>
    </row>
    <row r="23" spans="1:9" x14ac:dyDescent="0.3">
      <c r="B23" s="59" t="s">
        <v>34</v>
      </c>
      <c r="C23" s="60"/>
      <c r="D23" s="60"/>
      <c r="E23" s="60"/>
      <c r="F23" s="60"/>
      <c r="G23" s="60"/>
      <c r="H23" s="60"/>
      <c r="I23" s="61"/>
    </row>
    <row r="24" spans="1:9" x14ac:dyDescent="0.3">
      <c r="B24" s="44"/>
      <c r="C24" s="45"/>
      <c r="D24" s="2" t="s">
        <v>10</v>
      </c>
      <c r="E24" s="2" t="s">
        <v>11</v>
      </c>
      <c r="F24" s="2" t="s">
        <v>12</v>
      </c>
      <c r="G24" s="2" t="s">
        <v>13</v>
      </c>
      <c r="H24" s="2" t="s">
        <v>48</v>
      </c>
      <c r="I24" s="2" t="s">
        <v>14</v>
      </c>
    </row>
    <row r="25" spans="1:9" x14ac:dyDescent="0.3">
      <c r="B25" s="21" t="s">
        <v>35</v>
      </c>
      <c r="C25" s="20"/>
      <c r="D25" s="27">
        <f>'Pricing 1'!E38</f>
        <v>11000000</v>
      </c>
      <c r="E25" s="27">
        <f>'Pricing 1'!F38</f>
        <v>12003289.106320482</v>
      </c>
      <c r="F25" s="27">
        <f>'Pricing 1'!G38</f>
        <v>10067417.136802146</v>
      </c>
      <c r="G25" s="27">
        <f>'Pricing 1'!H38</f>
        <v>6964482.2105391845</v>
      </c>
      <c r="H25" s="27">
        <f>'Pricing 1'!I38</f>
        <v>4964811.5463381829</v>
      </c>
      <c r="I25" s="12">
        <f>SUM(D25:H25)</f>
        <v>45000000</v>
      </c>
    </row>
    <row r="26" spans="1:9" x14ac:dyDescent="0.3">
      <c r="B26" s="21" t="s">
        <v>36</v>
      </c>
      <c r="C26" s="20"/>
      <c r="D26" s="27">
        <f>'Pricing 1'!E20+D17+D20</f>
        <v>19786889.956275944</v>
      </c>
      <c r="E26" s="27">
        <f>'Pricing 1'!F20+E17+E20</f>
        <v>7259747.0991330873</v>
      </c>
      <c r="F26" s="27">
        <f>'Pricing 1'!G20+F17+F20</f>
        <v>6379747.0991330873</v>
      </c>
      <c r="G26" s="27">
        <f>'Pricing 1'!H20+G17+G20</f>
        <v>3706807.9227289399</v>
      </c>
      <c r="H26" s="27">
        <f>'Pricing 1'!I20+H17+H20</f>
        <v>3706807.9227289399</v>
      </c>
      <c r="I26" s="12">
        <f>SUM(D26:H26)</f>
        <v>40840000</v>
      </c>
    </row>
    <row r="27" spans="1:9" x14ac:dyDescent="0.3">
      <c r="B27" s="21" t="s">
        <v>37</v>
      </c>
      <c r="C27" s="20"/>
      <c r="D27" s="27">
        <f>D25-D26</f>
        <v>-8786889.9562759437</v>
      </c>
      <c r="E27" s="27">
        <f t="shared" ref="E27:H27" si="10">E25-E26</f>
        <v>4743542.0071873944</v>
      </c>
      <c r="F27" s="27">
        <f t="shared" si="10"/>
        <v>3687670.0376690589</v>
      </c>
      <c r="G27" s="27">
        <f t="shared" si="10"/>
        <v>3257674.2878102446</v>
      </c>
      <c r="H27" s="27">
        <f t="shared" si="10"/>
        <v>1258003.623609243</v>
      </c>
      <c r="I27" s="12">
        <f>SUM(D27:H27)</f>
        <v>4159999.9999999972</v>
      </c>
    </row>
    <row r="28" spans="1:9" x14ac:dyDescent="0.3">
      <c r="B28" s="21" t="s">
        <v>23</v>
      </c>
      <c r="C28" s="20"/>
      <c r="D28" s="43">
        <f>IRR(D27:H27)</f>
        <v>0.21564468167725348</v>
      </c>
      <c r="E28" s="12"/>
      <c r="F28" s="12"/>
      <c r="G28" s="12"/>
      <c r="H28" s="12"/>
      <c r="I28" s="12"/>
    </row>
    <row r="29" spans="1:9" s="5" customFormat="1" x14ac:dyDescent="0.3">
      <c r="A29"/>
    </row>
    <row r="30" spans="1:9" x14ac:dyDescent="0.3">
      <c r="B30" s="59" t="s">
        <v>38</v>
      </c>
      <c r="C30" s="60"/>
      <c r="D30" s="60"/>
    </row>
    <row r="31" spans="1:9" x14ac:dyDescent="0.3">
      <c r="B31" s="21" t="s">
        <v>39</v>
      </c>
      <c r="C31" s="20"/>
      <c r="D31" s="57">
        <f>NPV(D32,D27:H27)</f>
        <v>1042209.066459568</v>
      </c>
    </row>
    <row r="32" spans="1:9" x14ac:dyDescent="0.3">
      <c r="B32" s="21" t="s">
        <v>40</v>
      </c>
      <c r="C32" s="20"/>
      <c r="D32" s="34">
        <f>D39*D33+(D37*D40)*(1-D9)</f>
        <v>0.13819019999999999</v>
      </c>
    </row>
    <row r="33" spans="2:4" x14ac:dyDescent="0.3">
      <c r="B33" s="37" t="s">
        <v>52</v>
      </c>
      <c r="C33" s="20"/>
      <c r="D33" s="34">
        <f>D34+D35*(D36-D34)</f>
        <v>0.275972</v>
      </c>
    </row>
    <row r="34" spans="2:4" x14ac:dyDescent="0.3">
      <c r="B34" s="38" t="s">
        <v>41</v>
      </c>
      <c r="C34" s="20"/>
      <c r="D34" s="35">
        <v>3.5799999999999998E-2</v>
      </c>
    </row>
    <row r="35" spans="2:4" x14ac:dyDescent="0.3">
      <c r="B35" s="38" t="s">
        <v>42</v>
      </c>
      <c r="C35" s="20"/>
      <c r="D35" s="39">
        <v>1.94</v>
      </c>
    </row>
    <row r="36" spans="2:4" x14ac:dyDescent="0.3">
      <c r="B36" s="38" t="s">
        <v>43</v>
      </c>
      <c r="C36" s="20"/>
      <c r="D36" s="35">
        <v>0.15959999999999999</v>
      </c>
    </row>
    <row r="37" spans="2:4" x14ac:dyDescent="0.3">
      <c r="B37" s="37" t="s">
        <v>44</v>
      </c>
      <c r="C37" s="20"/>
      <c r="D37" s="35">
        <v>0.08</v>
      </c>
    </row>
    <row r="38" spans="2:4" x14ac:dyDescent="0.3">
      <c r="B38" s="37" t="s">
        <v>45</v>
      </c>
      <c r="C38" s="20"/>
      <c r="D38" s="35">
        <f>SUM(D39:D40)</f>
        <v>1</v>
      </c>
    </row>
    <row r="39" spans="2:4" x14ac:dyDescent="0.3">
      <c r="B39" s="38" t="s">
        <v>46</v>
      </c>
      <c r="C39" s="20"/>
      <c r="D39" s="35">
        <v>0.35</v>
      </c>
    </row>
    <row r="40" spans="2:4" x14ac:dyDescent="0.3">
      <c r="B40" s="38" t="s">
        <v>47</v>
      </c>
      <c r="C40" s="20"/>
      <c r="D40" s="35">
        <f>1-D39</f>
        <v>0.65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B30:D30"/>
    <mergeCell ref="B24:C24"/>
    <mergeCell ref="B3:D3"/>
    <mergeCell ref="C4:D4"/>
    <mergeCell ref="B12:C12"/>
    <mergeCell ref="B11:I11"/>
    <mergeCell ref="B23:I23"/>
  </mergeCells>
  <pageMargins left="0.7" right="0.7" top="0.75" bottom="0.75" header="0.3" footer="0.3"/>
  <pageSetup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EB05ECB30A374EB31ED895E23E99D8" ma:contentTypeVersion="14" ma:contentTypeDescription="Create a new document." ma:contentTypeScope="" ma:versionID="ab6b856c0c7b9046e0e73b1f1ccea009">
  <xsd:schema xmlns:xsd="http://www.w3.org/2001/XMLSchema" xmlns:xs="http://www.w3.org/2001/XMLSchema" xmlns:p="http://schemas.microsoft.com/office/2006/metadata/properties" xmlns:ns1="http://schemas.microsoft.com/sharepoint/v3" xmlns:ns2="c36ea60f-2c47-49cf-9f70-8c54ec50c571" xmlns:ns3="9cd1278e-b200-4e1a-8727-5b210dba20fe" targetNamespace="http://schemas.microsoft.com/office/2006/metadata/properties" ma:root="true" ma:fieldsID="63d7211dc776fdd6c4293d7d88901562" ns1:_="" ns2:_="" ns3:_="">
    <xsd:import namespace="http://schemas.microsoft.com/sharepoint/v3"/>
    <xsd:import namespace="c36ea60f-2c47-49cf-9f70-8c54ec50c571"/>
    <xsd:import namespace="9cd1278e-b200-4e1a-8727-5b210dba20fe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ea60f-2c47-49cf-9f70-8c54ec50c5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278e-b200-4e1a-8727-5b210dba20f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A9146C0-11C3-4A9C-B380-25CF780E04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36ea60f-2c47-49cf-9f70-8c54ec50c571"/>
    <ds:schemaRef ds:uri="9cd1278e-b200-4e1a-8727-5b210dba20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CA8121-159A-46FA-92B4-D7329F87FE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581258-DCE5-46DE-97F5-7E5175A66B53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9cd1278e-b200-4e1a-8727-5b210dba20fe"/>
    <ds:schemaRef ds:uri="http://purl.org/dc/dcmitype/"/>
    <ds:schemaRef ds:uri="http://schemas.openxmlformats.org/package/2006/metadata/core-properties"/>
    <ds:schemaRef ds:uri="c36ea60f-2c47-49cf-9f70-8c54ec50c571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 1</vt:lpstr>
      <vt:lpstr>Financials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2026-04-01T11:50:45Z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0x01010062EB05ECB30A374EB31ED895E23E99D8</vt:lpwstr>
  </property>
</Properties>
</file>